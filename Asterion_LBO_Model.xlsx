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1c9cb03cc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eab981cda43c49c3"/>
    <x:sheet xmlns:r="http://schemas.openxmlformats.org/officeDocument/2006/relationships" name="Sources &amp; Uses" sheetId="2" r:id="R89f7bf3aa1de40c1"/>
    <x:sheet xmlns:r="http://schemas.openxmlformats.org/officeDocument/2006/relationships" name="Operating Model" sheetId="3" r:id="Ra666eea40d0745b0"/>
    <x:sheet xmlns:r="http://schemas.openxmlformats.org/officeDocument/2006/relationships" name="Debt Schedule" sheetId="4" r:id="R096f975f944d4b3a"/>
    <x:sheet xmlns:r="http://schemas.openxmlformats.org/officeDocument/2006/relationships" name="Returns" sheetId="5" r:id="R8be3bec875394dfd"/>
    <x:sheet xmlns:r="http://schemas.openxmlformats.org/officeDocument/2006/relationships" name="Sensitivity" sheetId="6" r:id="Reaec11eb67f64397"/>
    <x:sheet xmlns:r="http://schemas.openxmlformats.org/officeDocument/2006/relationships" name="Model Checks" sheetId="7" r:id="R2dbf66a16d784328"/>
    <x:sheet xmlns:r="http://schemas.openxmlformats.org/officeDocument/2006/relationships" name="Read Me" sheetId="8" r:id="Re050ff82ce12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–"/>
    <x:numFmt numFmtId="201" formatCode="0.0%"/>
    <x:numFmt numFmtId="202" formatCode="0.00&quot;x&quot;"/>
    <x:numFmt numFmtId="203" formatCode="+0%;-0%;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283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b7c2ec14842fa" /><Relationship Type="http://schemas.openxmlformats.org/officeDocument/2006/relationships/theme" Target="/xl/theme/theme1.xml" Id="R0710941b59e648cc" /><Relationship Type="http://schemas.openxmlformats.org/officeDocument/2006/relationships/sharedStrings" Target="/xl/sharedStrings.xml" Id="Rf8545eef909e4d32" /><Relationship Type="http://schemas.openxmlformats.org/officeDocument/2006/relationships/worksheet" Target="/xl/worksheets/sheet1.xml" Id="Reab981cda43c49c3" /><Relationship Type="http://schemas.openxmlformats.org/officeDocument/2006/relationships/worksheet" Target="/xl/worksheets/sheet2.xml" Id="R89f7bf3aa1de40c1" /><Relationship Type="http://schemas.openxmlformats.org/officeDocument/2006/relationships/worksheet" Target="/xl/worksheets/sheet3.xml" Id="Ra666eea40d0745b0" /><Relationship Type="http://schemas.openxmlformats.org/officeDocument/2006/relationships/worksheet" Target="/xl/worksheets/sheet4.xml" Id="R096f975f944d4b3a" /><Relationship Type="http://schemas.openxmlformats.org/officeDocument/2006/relationships/worksheet" Target="/xl/worksheets/sheet5.xml" Id="R8be3bec875394dfd" /><Relationship Type="http://schemas.openxmlformats.org/officeDocument/2006/relationships/worksheet" Target="/xl/worksheets/sheet6.xml" Id="Reaec11eb67f64397" /><Relationship Type="http://schemas.openxmlformats.org/officeDocument/2006/relationships/worksheet" Target="/xl/worksheets/sheet7.xml" Id="R2dbf66a16d784328" /><Relationship Type="http://schemas.openxmlformats.org/officeDocument/2006/relationships/worksheet" Target="/xl/worksheets/sheet8.xml" Id="Re050ff82ce12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1" customHeight="1">
      <x:c r="A1" s="3" t="str">
        <x:v>01  |  TRANSACTION &amp; OPERATING ASSUMPTIONS</x:v>
      </x:c>
      <x:c r="B1" s="3"/>
      <x:c r="C1" s="3"/>
      <x:c r="D1" s="3"/>
      <x:c r="E1" s="3"/>
      <x:c r="F1" s="3"/>
      <x:c r="G1" s="3"/>
      <x:c r="H1" s="3"/>
    </x:row>
    <x:row r="3" ht="25" customHeight="1">
      <x:c r="A3" s="6" t="str">
        <x:v>TRANSACTION INPUTS</x:v>
      </x:c>
      <x:c r="B3" s="6" t="str">
        <x:v>VALUE / RATE</x:v>
      </x:c>
    </x:row>
    <x:row r="4">
      <x:c r="A4" t="str">
        <x:v>Company</x:v>
      </x:c>
      <x:c r="B4" s="8" t="str">
        <x:v>Asterion Business Services (fictional)</x:v>
      </x:c>
      <x:c r="C4" s="8"/>
      <x:c r="D4" s="8"/>
      <x:c r="E4" s="8"/>
      <x:c r="F4" s="8"/>
      <x:c r="G4" s="8"/>
      <x:c r="H4" s="8"/>
    </x:row>
    <x:row r="5">
      <x:c r="A5" t="str">
        <x:v>Currency</x:v>
      </x:c>
      <x:c r="B5" s="8" t="str">
        <x:v>USD millions</x:v>
      </x:c>
      <x:c r="C5" s="8"/>
      <x:c r="D5" s="8"/>
      <x:c r="E5" s="8"/>
      <x:c r="F5" s="8"/>
      <x:c r="G5" s="8"/>
      <x:c r="H5" s="8"/>
    </x:row>
    <x:row r="6">
      <x:c r="B6" s="8"/>
      <x:c r="C6" s="8"/>
      <x:c r="D6" s="8"/>
      <x:c r="E6" s="8"/>
      <x:c r="F6" s="8"/>
      <x:c r="G6" s="8"/>
      <x:c r="H6" s="8"/>
    </x:row>
    <x:row r="7">
      <x:c r="A7" t="str">
        <x:v>Entry EBITDA</x:v>
      </x:c>
      <x:c r="B7" s="8" t="n">
        <x:v>80</x:v>
      </x:c>
      <x:c r="C7" s="8"/>
      <x:c r="D7" s="8"/>
      <x:c r="E7" s="8"/>
      <x:c r="F7" s="8"/>
      <x:c r="G7" s="8"/>
      <x:c r="H7" s="8"/>
    </x:row>
    <x:row r="8">
      <x:c r="A8" t="str">
        <x:v>Entry EV / EBITDA</x:v>
      </x:c>
      <x:c r="B8" s="8" t="n">
        <x:v>10</x:v>
      </x:c>
      <x:c r="C8" s="8"/>
      <x:c r="D8" s="8"/>
      <x:c r="E8" s="8"/>
      <x:c r="F8" s="8"/>
      <x:c r="G8" s="8"/>
      <x:c r="H8" s="8"/>
    </x:row>
    <x:row r="9">
      <x:c r="A9" t="str">
        <x:v>Transaction fees (% EV)</x:v>
      </x:c>
      <x:c r="B9" s="10" t="n">
        <x:v>0.015</x:v>
      </x:c>
      <x:c r="C9" s="8"/>
      <x:c r="D9" s="8"/>
      <x:c r="E9" s="8"/>
      <x:c r="F9" s="8"/>
      <x:c r="G9" s="8"/>
      <x:c r="H9" s="8"/>
    </x:row>
    <x:row r="10">
      <x:c r="A10" t="str">
        <x:v>Minimum cash</x:v>
      </x:c>
      <x:c r="B10" s="8" t="n">
        <x:v>15</x:v>
      </x:c>
      <x:c r="C10" s="8"/>
      <x:c r="D10" s="8"/>
      <x:c r="E10" s="8"/>
      <x:c r="F10" s="8"/>
      <x:c r="G10" s="8"/>
      <x:c r="H10" s="8"/>
    </x:row>
    <x:row r="11">
      <x:c r="A11" t="str">
        <x:v>Opening cash</x:v>
      </x:c>
      <x:c r="B11" s="8" t="n">
        <x:v>20</x:v>
      </x:c>
      <x:c r="C11" s="8"/>
      <x:c r="D11" s="8"/>
      <x:c r="E11" s="8"/>
      <x:c r="F11" s="8"/>
      <x:c r="G11" s="8"/>
      <x:c r="H11" s="8"/>
    </x:row>
    <x:row r="12">
      <x:c r="A12" t="str">
        <x:v>Opening existing debt</x:v>
      </x:c>
      <x:c r="B12" s="8" t="n">
        <x:v>100</x:v>
      </x:c>
      <x:c r="C12" s="8"/>
      <x:c r="D12" s="8"/>
      <x:c r="E12" s="8"/>
      <x:c r="F12" s="8"/>
      <x:c r="G12" s="8"/>
      <x:c r="H12" s="8"/>
    </x:row>
    <x:row r="13">
      <x:c r="A13" t="str">
        <x:v>Senior debt / entry EBITDA</x:v>
      </x:c>
      <x:c r="B13" s="8" t="n">
        <x:v>4</x:v>
      </x:c>
      <x:c r="C13" s="8"/>
      <x:c r="D13" s="8"/>
      <x:c r="E13" s="8"/>
      <x:c r="F13" s="8"/>
      <x:c r="G13" s="8"/>
      <x:c r="H13" s="8"/>
    </x:row>
    <x:row r="14">
      <x:c r="A14" t="str">
        <x:v>Subordinated debt / entry EBITDA</x:v>
      </x:c>
      <x:c r="B14" s="8" t="n">
        <x:v>1</x:v>
      </x:c>
      <x:c r="C14" s="8"/>
      <x:c r="D14" s="8"/>
      <x:c r="E14" s="8"/>
      <x:c r="F14" s="8"/>
      <x:c r="G14" s="8"/>
      <x:c r="H14" s="8"/>
    </x:row>
    <x:row r="15">
      <x:c r="A15" t="str">
        <x:v>Senior interest rate</x:v>
      </x:c>
      <x:c r="B15" s="10" t="n">
        <x:v>0.085</x:v>
      </x:c>
      <x:c r="C15" s="8"/>
      <x:c r="D15" s="8"/>
      <x:c r="E15" s="8"/>
      <x:c r="F15" s="8"/>
      <x:c r="G15" s="8"/>
      <x:c r="H15" s="8"/>
    </x:row>
    <x:row r="16">
      <x:c r="A16" t="str">
        <x:v>Subordinated interest rate</x:v>
      </x:c>
      <x:c r="B16" s="10" t="n">
        <x:v>0.115</x:v>
      </x:c>
      <x:c r="C16" s="8"/>
      <x:c r="D16" s="8"/>
      <x:c r="E16" s="8"/>
      <x:c r="F16" s="8"/>
      <x:c r="G16" s="8"/>
      <x:c r="H16" s="8"/>
    </x:row>
    <x:row r="17">
      <x:c r="A17" t="str">
        <x:v>Annual senior amortisation (% original)</x:v>
      </x:c>
      <x:c r="B17" s="10" t="n">
        <x:v>0.05</x:v>
      </x:c>
      <x:c r="C17" s="8"/>
      <x:c r="D17" s="8"/>
      <x:c r="E17" s="8"/>
      <x:c r="F17" s="8"/>
      <x:c r="G17" s="8"/>
      <x:c r="H17" s="8"/>
    </x:row>
    <x:row r="18">
      <x:c r="A18" t="str">
        <x:v>Corporate tax rate</x:v>
      </x:c>
      <x:c r="B18" s="10" t="n">
        <x:v>0.25</x:v>
      </x:c>
      <x:c r="C18" s="8"/>
      <x:c r="D18" s="8"/>
      <x:c r="E18" s="8"/>
      <x:c r="F18" s="8"/>
      <x:c r="G18" s="8"/>
      <x:c r="H18" s="8"/>
    </x:row>
    <x:row r="19">
      <x:c r="A19" t="str">
        <x:v>Revenue (base year)</x:v>
      </x:c>
      <x:c r="B19" s="8" t="n">
        <x:v>650</x:v>
      </x:c>
      <x:c r="C19" s="8"/>
      <x:c r="D19" s="8"/>
      <x:c r="E19" s="8"/>
      <x:c r="F19" s="8"/>
      <x:c r="G19" s="8"/>
      <x:c r="H19" s="8"/>
    </x:row>
    <x:row r="20">
      <x:c r="A20" t="str">
        <x:v>Revenue growth Y1</x:v>
      </x:c>
      <x:c r="B20" s="10" t="n">
        <x:v>0.1</x:v>
      </x:c>
      <x:c r="C20" s="8"/>
      <x:c r="D20" s="8"/>
      <x:c r="E20" s="8"/>
      <x:c r="F20" s="8"/>
      <x:c r="G20" s="8"/>
      <x:c r="H20" s="8"/>
    </x:row>
    <x:row r="21">
      <x:c r="A21" t="str">
        <x:v>Revenue growth annual change</x:v>
      </x:c>
      <x:c r="B21" s="10" t="n">
        <x:v>-0.01</x:v>
      </x:c>
      <x:c r="C21" s="8"/>
      <x:c r="D21" s="8"/>
      <x:c r="E21" s="8"/>
      <x:c r="F21" s="8"/>
      <x:c r="G21" s="8"/>
      <x:c r="H21" s="8"/>
    </x:row>
    <x:row r="22">
      <x:c r="A22" t="str">
        <x:v>EBITDA margin (base)</x:v>
      </x:c>
      <x:c r="B22" s="10" t="n">
        <x:v>0.12307692307692308</x:v>
      </x:c>
      <x:c r="C22" s="8"/>
      <x:c r="D22" s="8"/>
      <x:c r="E22" s="8"/>
      <x:c r="F22" s="8"/>
      <x:c r="G22" s="8"/>
      <x:c r="H22" s="8"/>
    </x:row>
    <x:row r="23">
      <x:c r="A23" t="str">
        <x:v>EBITDA margin annual improvement</x:v>
      </x:c>
      <x:c r="B23" s="10" t="n">
        <x:v>0.005</x:v>
      </x:c>
      <x:c r="C23" s="8"/>
      <x:c r="D23" s="8"/>
      <x:c r="E23" s="8"/>
      <x:c r="F23" s="8"/>
      <x:c r="G23" s="8"/>
      <x:c r="H23" s="8"/>
    </x:row>
    <x:row r="24">
      <x:c r="A24" t="str">
        <x:v>D&amp;A / revenue</x:v>
      </x:c>
      <x:c r="B24" s="10" t="n">
        <x:v>0.035</x:v>
      </x:c>
      <x:c r="C24" s="8"/>
      <x:c r="D24" s="8"/>
      <x:c r="E24" s="8"/>
      <x:c r="F24" s="8"/>
      <x:c r="G24" s="8"/>
      <x:c r="H24" s="8"/>
    </x:row>
    <x:row r="25">
      <x:c r="A25" t="str">
        <x:v>Capex / revenue</x:v>
      </x:c>
      <x:c r="B25" s="10" t="n">
        <x:v>0.045</x:v>
      </x:c>
      <x:c r="C25" s="8"/>
      <x:c r="D25" s="8"/>
      <x:c r="E25" s="8"/>
      <x:c r="F25" s="8"/>
      <x:c r="G25" s="8"/>
      <x:c r="H25" s="8"/>
    </x:row>
    <x:row r="26">
      <x:c r="A26" t="str">
        <x:v>NWC / revenue</x:v>
      </x:c>
      <x:c r="B26" s="10" t="n">
        <x:v>0.12</x:v>
      </x:c>
      <x:c r="C26" s="8"/>
      <x:c r="D26" s="8"/>
      <x:c r="E26" s="8"/>
      <x:c r="F26" s="8"/>
      <x:c r="G26" s="8"/>
      <x:c r="H26" s="8"/>
    </x:row>
    <x:row r="27">
      <x:c r="A27" t="str">
        <x:v>Exit EV / EBITDA</x:v>
      </x:c>
      <x:c r="B27" s="8" t="n">
        <x:v>10</x:v>
      </x:c>
      <x:c r="C27" s="8"/>
      <x:c r="D27" s="8"/>
      <x:c r="E27" s="8"/>
      <x:c r="F27" s="8"/>
      <x:c r="G27" s="8"/>
      <x:c r="H27" s="8"/>
    </x:row>
    <x:row r="28">
      <x:c r="A28" t="str">
        <x:v>Holding period (years)</x:v>
      </x:c>
      <x:c r="B28" s="8" t="n">
        <x:v>5</x:v>
      </x:c>
      <x:c r="C28" s="8"/>
      <x:c r="D28" s="8"/>
      <x:c r="E28" s="8"/>
      <x:c r="F28" s="8"/>
      <x:c r="G28" s="8"/>
      <x:c r="H28" s="8"/>
    </x:row>
    <x:row r="29">
      <x:c r="A29" t="str">
        <x:v>Exit transaction fee (% EV)</x:v>
      </x:c>
      <x:c r="B29" s="10" t="n">
        <x:v>0.01</x:v>
      </x:c>
      <x:c r="C29" s="8"/>
      <x:c r="D29" s="8"/>
      <x:c r="E29" s="8"/>
      <x:c r="F29" s="8"/>
      <x:c r="G29" s="8"/>
      <x:c r="H29" s="8"/>
    </x:row>
    <x:row r="30">
      <x:c r="A30" t="str">
        <x:v>Entry NWC</x:v>
      </x:c>
      <x:c r="B30" s="8" t="n">
        <x:v>78</x:v>
      </x:c>
      <x:c r="C30" s="8"/>
      <x:c r="D30" s="8"/>
      <x:c r="E30" s="8"/>
      <x:c r="F30" s="8"/>
      <x:c r="G30" s="8"/>
      <x:c r="H30" s="8"/>
    </x:row>
    <x:row r="31">
      <x:c r="B31" s="8"/>
      <x:c r="C31" s="8"/>
      <x:c r="D31" s="8"/>
      <x:c r="E31" s="8"/>
      <x:c r="F31" s="8"/>
      <x:c r="G31" s="8"/>
      <x:c r="H31" s="8"/>
    </x:row>
    <x:row r="32">
      <x:c r="B32" s="8"/>
      <x:c r="C32" s="8"/>
      <x:c r="D32" s="8"/>
      <x:c r="E32" s="8"/>
      <x:c r="F32" s="8"/>
      <x:c r="G32" s="8"/>
      <x:c r="H32" s="8"/>
    </x:row>
    <x:row r="33">
      <x:c r="B33" s="8"/>
      <x:c r="C33" s="8"/>
      <x:c r="D33" s="8"/>
      <x:c r="E33" s="8"/>
      <x:c r="F33" s="8"/>
      <x:c r="G33" s="8"/>
      <x:c r="H33" s="8"/>
    </x:row>
    <x:row r="34">
      <x:c r="B34" s="8"/>
      <x:c r="C34" s="8"/>
      <x:c r="D34" s="8"/>
      <x:c r="E34" s="8"/>
      <x:c r="F34" s="8"/>
      <x:c r="G34" s="8"/>
      <x:c r="H34" s="8"/>
    </x:row>
    <x:row r="35">
      <x:c r="B35" s="8"/>
      <x:c r="C35" s="8"/>
      <x:c r="D35" s="8"/>
      <x:c r="E35" s="8"/>
      <x:c r="F35" s="8"/>
      <x:c r="G35" s="8"/>
      <x:c r="H35" s="8"/>
    </x:row>
    <x:row r="36">
      <x:c r="B36" s="8"/>
      <x:c r="C36" s="8"/>
      <x:c r="D36" s="8"/>
      <x:c r="E36" s="8"/>
      <x:c r="F36" s="8"/>
      <x:c r="G36" s="8"/>
      <x:c r="H36" s="8"/>
    </x:row>
    <x:row r="37">
      <x:c r="B37" s="8"/>
      <x:c r="C37" s="8"/>
      <x:c r="D37" s="8"/>
      <x:c r="E37" s="8"/>
      <x:c r="F37" s="8"/>
      <x:c r="G37" s="8"/>
      <x:c r="H37" s="8"/>
    </x:row>
    <x:row r="38">
      <x:c r="B38" s="8"/>
      <x:c r="C38" s="8"/>
      <x:c r="D38" s="8"/>
      <x:c r="E38" s="8"/>
      <x:c r="F38" s="8"/>
      <x:c r="G38" s="8"/>
      <x:c r="H38" s="8"/>
    </x:row>
    <x:row r="39">
      <x:c r="B39" s="8"/>
      <x:c r="C39" s="8"/>
      <x:c r="D39" s="8"/>
      <x:c r="E39" s="8"/>
      <x:c r="F39" s="8"/>
      <x:c r="G39" s="8"/>
      <x:c r="H39" s="8"/>
    </x:row>
    <x:row r="40">
      <x:c r="B40" s="8"/>
      <x:c r="C40" s="8"/>
      <x:c r="D40" s="8"/>
      <x:c r="E40" s="8"/>
      <x:c r="F40" s="8"/>
      <x:c r="G40" s="8"/>
      <x:c r="H40" s="8"/>
    </x:row>
    <x:row r="41">
      <x:c r="B41" s="8"/>
      <x:c r="C41" s="8"/>
      <x:c r="D41" s="8"/>
      <x:c r="E41" s="8"/>
      <x:c r="F41" s="8"/>
      <x:c r="G41" s="8"/>
      <x:c r="H41" s="8"/>
    </x:row>
    <x:row r="42">
      <x:c r="B42" s="8"/>
      <x:c r="C42" s="8"/>
      <x:c r="D42" s="8"/>
      <x:c r="E42" s="8"/>
      <x:c r="F42" s="8"/>
      <x:c r="G42" s="8"/>
      <x:c r="H42" s="8"/>
    </x:row>
    <x:row r="43">
      <x:c r="B43" s="8"/>
      <x:c r="C43" s="8"/>
      <x:c r="D43" s="8"/>
      <x:c r="E43" s="8"/>
      <x:c r="F43" s="8"/>
      <x:c r="G43" s="8"/>
      <x:c r="H43" s="8"/>
    </x:row>
    <x:row r="44">
      <x:c r="B44" s="8"/>
      <x:c r="C44" s="8"/>
      <x:c r="D44" s="8"/>
      <x:c r="E44" s="8"/>
      <x:c r="F44" s="8"/>
      <x:c r="G44" s="8"/>
      <x:c r="H44" s="8"/>
    </x:row>
    <x:row r="45">
      <x:c r="B45" s="8"/>
      <x:c r="C45" s="8"/>
      <x:c r="D45" s="8"/>
      <x:c r="E45" s="8"/>
      <x:c r="F45" s="8"/>
      <x:c r="G45" s="8"/>
      <x:c r="H45" s="8"/>
    </x:row>
    <x:row r="46">
      <x:c r="B46" s="8"/>
      <x:c r="C46" s="8"/>
      <x:c r="D46" s="8"/>
      <x:c r="E46" s="8"/>
      <x:c r="F46" s="8"/>
      <x:c r="G46" s="8"/>
      <x:c r="H46" s="8"/>
    </x:row>
    <x:row r="47">
      <x:c r="B47" s="8"/>
      <x:c r="C47" s="8"/>
      <x:c r="D47" s="8"/>
      <x:c r="E47" s="8"/>
      <x:c r="F47" s="8"/>
      <x:c r="G47" s="8"/>
      <x:c r="H47" s="8"/>
    </x:row>
    <x:row r="48">
      <x:c r="B48" s="8"/>
      <x:c r="C48" s="8"/>
      <x:c r="D48" s="8"/>
      <x:c r="E48" s="8"/>
      <x:c r="F48" s="8"/>
      <x:c r="G48" s="8"/>
      <x:c r="H48" s="8"/>
    </x:row>
    <x:row r="49">
      <x:c r="B49" s="8"/>
      <x:c r="C49" s="8"/>
      <x:c r="D49" s="8"/>
      <x:c r="E49" s="8"/>
      <x:c r="F49" s="8"/>
      <x:c r="G49" s="8"/>
      <x:c r="H49" s="8"/>
    </x:row>
    <x:row r="50">
      <x:c r="B50" s="8"/>
      <x:c r="C50" s="8"/>
      <x:c r="D50" s="8"/>
      <x:c r="E50" s="8"/>
      <x:c r="F50" s="8"/>
      <x:c r="G50" s="8"/>
      <x:c r="H50" s="8"/>
    </x:row>
    <x:row r="51">
      <x:c r="B51" s="8"/>
      <x:c r="C51" s="8"/>
      <x:c r="D51" s="8"/>
      <x:c r="E51" s="8"/>
      <x:c r="F51" s="8"/>
      <x:c r="G51" s="8"/>
      <x:c r="H51" s="8"/>
    </x:row>
    <x:row r="52">
      <x:c r="B52" s="8"/>
      <x:c r="C52" s="8"/>
      <x:c r="D52" s="8"/>
      <x:c r="E52" s="8"/>
      <x:c r="F52" s="8"/>
      <x:c r="G52" s="8"/>
      <x:c r="H52" s="8"/>
    </x:row>
    <x:row r="53">
      <x:c r="B53" s="8"/>
      <x:c r="C53" s="8"/>
      <x:c r="D53" s="8"/>
      <x:c r="E53" s="8"/>
      <x:c r="F53" s="8"/>
      <x:c r="G53" s="8"/>
      <x:c r="H53" s="8"/>
    </x:row>
    <x:row r="54">
      <x:c r="B54" s="8"/>
      <x:c r="C54" s="8"/>
      <x:c r="D54" s="8"/>
      <x:c r="E54" s="8"/>
      <x:c r="F54" s="8"/>
      <x:c r="G54" s="8"/>
      <x:c r="H54" s="8"/>
    </x:row>
    <x:row r="55">
      <x:c r="B55" s="8"/>
      <x:c r="C55" s="8"/>
      <x:c r="D55" s="8"/>
      <x:c r="E55" s="8"/>
      <x:c r="F55" s="8"/>
      <x:c r="G55" s="8"/>
      <x:c r="H55" s="8"/>
    </x:row>
    <x:row r="56">
      <x:c r="B56" s="8"/>
      <x:c r="C56" s="8"/>
      <x:c r="D56" s="8"/>
      <x:c r="E56" s="8"/>
      <x:c r="F56" s="8"/>
      <x:c r="G56" s="8"/>
      <x:c r="H56" s="8"/>
    </x:row>
    <x:row r="57">
      <x:c r="B57" s="8"/>
      <x:c r="C57" s="8"/>
      <x:c r="D57" s="8"/>
      <x:c r="E57" s="8"/>
      <x:c r="F57" s="8"/>
      <x:c r="G57" s="8"/>
      <x:c r="H57" s="8"/>
    </x:row>
    <x:row r="58">
      <x:c r="B58" s="8"/>
      <x:c r="C58" s="8"/>
      <x:c r="D58" s="8"/>
      <x:c r="E58" s="8"/>
      <x:c r="F58" s="8"/>
      <x:c r="G58" s="8"/>
      <x:c r="H58" s="8"/>
    </x:row>
    <x:row r="59">
      <x:c r="B59" s="8"/>
      <x:c r="C59" s="8"/>
      <x:c r="D59" s="8"/>
      <x:c r="E59" s="8"/>
      <x:c r="F59" s="8"/>
      <x:c r="G59" s="8"/>
      <x:c r="H59" s="8"/>
    </x:row>
    <x:row r="60">
      <x:c r="B60" s="8"/>
      <x:c r="C60" s="8"/>
      <x:c r="D60" s="8"/>
      <x:c r="E60" s="8"/>
      <x:c r="F60" s="8"/>
      <x:c r="G60" s="8"/>
      <x:c r="H60" s="8"/>
    </x:row>
    <x:row r="61">
      <x:c r="B61" s="8"/>
      <x:c r="C61" s="8"/>
      <x:c r="D61" s="8"/>
      <x:c r="E61" s="8"/>
      <x:c r="F61" s="8"/>
      <x:c r="G61" s="8"/>
      <x:c r="H61" s="8"/>
    </x:row>
    <x:row r="62">
      <x:c r="B62" s="8"/>
      <x:c r="C62" s="8"/>
      <x:c r="D62" s="8"/>
      <x:c r="E62" s="8"/>
      <x:c r="F62" s="8"/>
      <x:c r="G62" s="8"/>
      <x:c r="H62" s="8"/>
    </x:row>
    <x:row r="63">
      <x:c r="B63" s="8"/>
      <x:c r="C63" s="8"/>
      <x:c r="D63" s="8"/>
      <x:c r="E63" s="8"/>
      <x:c r="F63" s="8"/>
      <x:c r="G63" s="8"/>
      <x:c r="H63" s="8"/>
    </x:row>
    <x:row r="64">
      <x:c r="B64" s="8"/>
      <x:c r="C64" s="8"/>
      <x:c r="D64" s="8"/>
      <x:c r="E64" s="8"/>
      <x:c r="F64" s="8"/>
      <x:c r="G64" s="8"/>
      <x:c r="H64" s="8"/>
    </x:row>
    <x:row r="65">
      <x:c r="B65" s="8"/>
      <x:c r="C65" s="8"/>
      <x:c r="D65" s="8"/>
      <x:c r="E65" s="8"/>
      <x:c r="F65" s="8"/>
      <x:c r="G65" s="8"/>
      <x:c r="H65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1" customHeight="1">
      <x:c r="A1" s="3" t="str">
        <x:v>02  |  SOURCES &amp; USES</x:v>
      </x:c>
      <x:c r="B1" s="3"/>
      <x:c r="C1" s="3"/>
      <x:c r="D1" s="3"/>
      <x:c r="E1" s="3"/>
      <x:c r="F1" s="3"/>
      <x:c r="G1" s="3"/>
      <x:c r="H1" s="3"/>
    </x:row>
    <x:row r="3" ht="25" customHeight="1">
      <x:c r="A3" s="6" t="str">
        <x:v>USES OF FUNDS</x:v>
      </x:c>
      <x:c r="B3" s="6" t="str">
        <x:v>USD m</x:v>
      </x:c>
      <x:c r="C3" s="6" t="str">
        <x:v>SOURCES OF FUNDS</x:v>
      </x:c>
      <x:c r="D3" s="6" t="str">
        <x:v>USD m</x:v>
      </x:c>
    </x:row>
    <x:row r="5">
      <x:c r="A5" t="str">
        <x:v>Enterprise value</x:v>
      </x:c>
      <x:c r="B5" t="n">
        <x:f>'Assumptions'!B7*'Assumptions'!B8</x:f>
        <x:v>800</x:v>
      </x:c>
    </x:row>
    <x:row r="6">
      <x:c r="A6" t="str">
        <x:v>Refinance existing debt</x:v>
      </x:c>
      <x:c r="B6" t="n">
        <x:f>'Assumptions'!B12</x:f>
        <x:v>100</x:v>
      </x:c>
    </x:row>
    <x:row r="7">
      <x:c r="A7" t="str">
        <x:v>Less: acquired cash</x:v>
      </x:c>
      <x:c r="B7" t="n">
        <x:f>-'Assumptions'!B11</x:f>
        <x:v>-20</x:v>
      </x:c>
    </x:row>
    <x:row r="8">
      <x:c r="A8" t="str">
        <x:v>Transaction fees</x:v>
      </x:c>
      <x:c r="B8" t="n">
        <x:f>B5*'Assumptions'!B9</x:f>
        <x:v>12</x:v>
      </x:c>
    </x:row>
    <x:row r="9">
      <x:c r="A9" t="str">
        <x:v>Minimum closing cash</x:v>
      </x:c>
      <x:c r="B9" t="n">
        <x:f>'Assumptions'!B10</x:f>
        <x:v>15</x:v>
      </x:c>
    </x:row>
    <x:row r="11">
      <x:c r="A11" t="str">
        <x:v>TOTAL USES</x:v>
      </x:c>
      <x:c r="B11" t="n">
        <x:f>SUM(B5:B9)</x:f>
        <x:v>907</x:v>
      </x:c>
    </x:row>
    <x:row r="14">
      <x:c r="A14" t="str">
        <x:v>Senior term loan</x:v>
      </x:c>
      <x:c r="B14" t="n">
        <x:f>'Assumptions'!B7*'Assumptions'!B13</x:f>
        <x:v>320</x:v>
      </x:c>
    </x:row>
    <x:row r="15">
      <x:c r="A15" t="str">
        <x:v>Subordinated debt</x:v>
      </x:c>
      <x:c r="B15" t="n">
        <x:f>'Assumptions'!B7*'Assumptions'!B14</x:f>
        <x:v>80</x:v>
      </x:c>
    </x:row>
    <x:row r="16">
      <x:c r="A16" t="str">
        <x:v>Sponsor equity</x:v>
      </x:c>
      <x:c r="B16" t="n">
        <x:f>B11-B14-B15</x:f>
        <x:v>507</x:v>
      </x:c>
    </x:row>
    <x:row r="18">
      <x:c r="A18" t="str">
        <x:v>TOTAL SOURCES</x:v>
      </x:c>
      <x:c r="B18" t="n">
        <x:f>SUM(B14:B16)</x:f>
        <x:v>907</x:v>
      </x:c>
    </x:row>
    <x:row r="20">
      <x:c r="A20" t="str">
        <x:v>Funding balance</x:v>
      </x:c>
      <x:c r="B20" t="n">
        <x:f>B18-B11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1" customHeight="1">
      <x:c r="A1" s="3" t="str">
        <x:v>03  |  FIVE-YEAR OPERATING FORECAST</x:v>
      </x:c>
      <x:c r="B1" s="3"/>
      <x:c r="C1" s="3"/>
      <x:c r="D1" s="3"/>
      <x:c r="E1" s="3"/>
      <x:c r="F1" s="3"/>
      <x:c r="G1" s="3"/>
      <x:c r="H1" s="3"/>
    </x:row>
    <x:row r="3" ht="25" customHeight="1">
      <x:c r="A3" s="6" t="str">
        <x:v>USD millions</x:v>
      </x:c>
      <x:c r="B3" s="6" t="str">
        <x:v>Base</x:v>
      </x:c>
      <x:c r="C3" s="6" t="str">
        <x:v>Y1</x:v>
      </x:c>
      <x:c r="D3" s="6" t="str">
        <x:v>Y2</x:v>
      </x:c>
      <x:c r="E3" s="6" t="str">
        <x:v>Y3</x:v>
      </x:c>
      <x:c r="F3" s="6" t="str">
        <x:v>Y4</x:v>
      </x:c>
      <x:c r="G3" s="6" t="str">
        <x:v>Y5</x:v>
      </x:c>
    </x:row>
    <x:row r="5">
      <x:c r="A5" t="str">
        <x:v>Revenue</x:v>
      </x:c>
      <x:c r="B5" t="n">
        <x:f>'Assumptions'!B19</x:f>
        <x:v>650</x:v>
      </x:c>
      <x:c r="C5" t="n">
        <x:f>B5*(1+C6)</x:f>
        <x:v>715.0000000000001</x:v>
      </x:c>
      <x:c r="D5" t="n">
        <x:f>C5*(1+D6)</x:f>
        <x:v>779.3500000000001</x:v>
      </x:c>
      <x:c r="E5" t="n">
        <x:f>D5*(1+E6)</x:f>
        <x:v>841.6980000000002</x:v>
      </x:c>
      <x:c r="F5" t="n">
        <x:f>E5*(1+F6)</x:f>
        <x:v>900.6168600000003</x:v>
      </x:c>
      <x:c r="G5" t="n">
        <x:f>F5*(1+G6)</x:f>
        <x:v>954.6538716000003</x:v>
      </x:c>
    </x:row>
    <x:row r="6">
      <x:c r="A6" t="str">
        <x:v>Revenue growth</x:v>
      </x:c>
      <x:c r="C6" s="10" t="n">
        <x:f>'Assumptions'!$B$20+(1-1)*'Assumptions'!$B$21</x:f>
        <x:v>0.1</x:v>
      </x:c>
      <x:c r="D6" s="10" t="n">
        <x:f>'Assumptions'!$B$20+(2-1)*'Assumptions'!$B$21</x:f>
        <x:v>0.09000000000000001</x:v>
      </x:c>
      <x:c r="E6" s="10" t="n">
        <x:f>'Assumptions'!$B$20+(3-1)*'Assumptions'!$B$21</x:f>
        <x:v>0.08</x:v>
      </x:c>
      <x:c r="F6" s="10" t="n">
        <x:f>'Assumptions'!$B$20+(4-1)*'Assumptions'!$B$21</x:f>
        <x:v>0.07</x:v>
      </x:c>
      <x:c r="G6" s="10" t="n">
        <x:f>'Assumptions'!$B$20+(5-1)*'Assumptions'!$B$21</x:f>
        <x:v>0.060000000000000005</x:v>
      </x:c>
    </x:row>
    <x:row r="8">
      <x:c r="A8" t="str">
        <x:v>EBITDA margin</x:v>
      </x:c>
      <x:c r="B8" s="10" t="n">
        <x:f>'Assumptions'!B22</x:f>
        <x:v>0.12307692307692308</x:v>
      </x:c>
      <x:c r="C8" s="10" t="n">
        <x:f>'Assumptions'!$B$22+1*'Assumptions'!$B$23</x:f>
        <x:v>0.1280769230769231</x:v>
      </x:c>
      <x:c r="D8" s="10" t="n">
        <x:f>'Assumptions'!$B$22+2*'Assumptions'!$B$23</x:f>
        <x:v>0.1330769230769231</x:v>
      </x:c>
      <x:c r="E8" s="10" t="n">
        <x:f>'Assumptions'!$B$22+3*'Assumptions'!$B$23</x:f>
        <x:v>0.1380769230769231</x:v>
      </x:c>
      <x:c r="F8" s="10" t="n">
        <x:f>'Assumptions'!$B$22+4*'Assumptions'!$B$23</x:f>
        <x:v>0.14307692307692307</x:v>
      </x:c>
      <x:c r="G8" s="10" t="n">
        <x:f>'Assumptions'!$B$22+5*'Assumptions'!$B$23</x:f>
        <x:v>0.14807692307692308</x:v>
      </x:c>
    </x:row>
    <x:row r="9">
      <x:c r="A9" t="str">
        <x:v>EBITDA</x:v>
      </x:c>
      <x:c r="B9" t="n">
        <x:f>'Assumptions'!B7</x:f>
        <x:v>80</x:v>
      </x:c>
      <x:c r="C9" t="n">
        <x:f>C5*C8</x:f>
        <x:v>91.57500000000002</x:v>
      </x:c>
      <x:c r="D9" t="n">
        <x:f>D5*D8</x:f>
        <x:v>103.71350000000002</x:v>
      </x:c>
      <x:c r="E9" t="n">
        <x:f>E5*E8</x:f>
        <x:v>116.21907000000004</x:v>
      </x:c>
      <x:c r="F9" t="n">
        <x:f>F5*F8</x:f>
        <x:v>128.85748920000003</x:v>
      </x:c>
      <x:c r="G9" t="n">
        <x:f>G5*G8</x:f>
        <x:v>141.36220791000005</x:v>
      </x:c>
    </x:row>
    <x:row r="10">
      <x:c r="A10" t="str">
        <x:v>Depreciation &amp; amortisation</x:v>
      </x:c>
      <x:c r="B10" t="n">
        <x:f>B5*'Assumptions'!B24</x:f>
        <x:v>22.750000000000004</x:v>
      </x:c>
      <x:c r="C10" t="n">
        <x:f>C5*'Assumptions'!$B$24</x:f>
        <x:v>25.025000000000006</x:v>
      </x:c>
      <x:c r="D10" t="n">
        <x:f>D5*'Assumptions'!$B$24</x:f>
        <x:v>27.277250000000006</x:v>
      </x:c>
      <x:c r="E10" t="n">
        <x:f>E5*'Assumptions'!$B$24</x:f>
        <x:v>29.45943000000001</x:v>
      </x:c>
      <x:c r="F10" t="n">
        <x:f>F5*'Assumptions'!$B$24</x:f>
        <x:v>31.521590100000015</x:v>
      </x:c>
      <x:c r="G10" t="n">
        <x:f>G5*'Assumptions'!$B$24</x:f>
        <x:v>33.412885506000016</x:v>
      </x:c>
    </x:row>
    <x:row r="11">
      <x:c r="A11" t="str">
        <x:v>EBIT</x:v>
      </x:c>
      <x:c r="B11" t="n">
        <x:f>B9-B10</x:f>
        <x:v>57.25</x:v>
      </x:c>
      <x:c r="C11" t="n">
        <x:f>C9-C10</x:f>
        <x:v>66.55000000000001</x:v>
      </x:c>
      <x:c r="D11" t="n">
        <x:f>D9-D10</x:f>
        <x:v>76.43625000000002</x:v>
      </x:c>
      <x:c r="E11" t="n">
        <x:f>E9-E10</x:f>
        <x:v>86.75964000000003</x:v>
      </x:c>
      <x:c r="F11" t="n">
        <x:f>F9-F10</x:f>
        <x:v>97.33589910000002</x:v>
      </x:c>
      <x:c r="G11" t="n">
        <x:f>G9-G10</x:f>
        <x:v>107.94932240400004</x:v>
      </x:c>
    </x:row>
    <x:row r="12">
      <x:c r="A12" t="str">
        <x:v>Cash interest</x:v>
      </x:c>
      <x:c r="C12" t="n">
        <x:f>'Debt Schedule'!C10</x:f>
        <x:v>36.400000000000006</x:v>
      </x:c>
      <x:c r="D12" t="n">
        <x:f>'Debt Schedule'!D10</x:f>
        <x:v>35.040000000000006</x:v>
      </x:c>
      <x:c r="E12" t="n">
        <x:f>'Debt Schedule'!E10</x:f>
        <x:v>33.68</x:v>
      </x:c>
      <x:c r="F12" t="n">
        <x:f>'Debt Schedule'!F10</x:f>
        <x:v>31.64756585</x:v>
      </x:c>
      <x:c r="G12" t="n">
        <x:f>'Debt Schedule'!G10</x:f>
        <x:v>28.8264313083125</x:v>
      </x:c>
    </x:row>
    <x:row r="13">
      <x:c r="A13" t="str">
        <x:v>EBT</x:v>
      </x:c>
      <x:c r="C13" t="n">
        <x:f>C11-C12</x:f>
        <x:v>30.150000000000006</x:v>
      </x:c>
      <x:c r="D13" t="n">
        <x:f>D11-D12</x:f>
        <x:v>41.39625000000001</x:v>
      </x:c>
      <x:c r="E13" t="n">
        <x:f>E11-E12</x:f>
        <x:v>53.07964000000003</x:v>
      </x:c>
      <x:c r="F13" t="n">
        <x:f>F11-F12</x:f>
        <x:v>65.68833325000003</x:v>
      </x:c>
      <x:c r="G13" t="n">
        <x:f>G11-G12</x:f>
        <x:v>79.12289109568755</x:v>
      </x:c>
    </x:row>
    <x:row r="14">
      <x:c r="A14" t="str">
        <x:v>Cash taxes</x:v>
      </x:c>
      <x:c r="C14" t="n">
        <x:f>MAX(0,C13*'Assumptions'!$B$18)</x:f>
        <x:v>7.537500000000001</x:v>
      </x:c>
      <x:c r="D14" t="n">
        <x:f>MAX(0,D13*'Assumptions'!$B$18)</x:f>
        <x:v>10.349062500000002</x:v>
      </x:c>
      <x:c r="E14" t="n">
        <x:f>MAX(0,E13*'Assumptions'!$B$18)</x:f>
        <x:v>13.269910000000008</x:v>
      </x:c>
      <x:c r="F14" t="n">
        <x:f>MAX(0,F13*'Assumptions'!$B$18)</x:f>
        <x:v>16.422083312500007</x:v>
      </x:c>
      <x:c r="G14" t="n">
        <x:f>MAX(0,G13*'Assumptions'!$B$18)</x:f>
        <x:v>19.780722773921887</x:v>
      </x:c>
    </x:row>
    <x:row r="15">
      <x:c r="A15" t="str">
        <x:v>Net income</x:v>
      </x:c>
      <x:c r="C15" t="n">
        <x:f>C13-C14</x:f>
        <x:v>22.612500000000004</x:v>
      </x:c>
      <x:c r="D15" t="n">
        <x:f>D13-D14</x:f>
        <x:v>31.047187500000007</x:v>
      </x:c>
      <x:c r="E15" t="n">
        <x:f>E13-E14</x:f>
        <x:v>39.80973000000002</x:v>
      </x:c>
      <x:c r="F15" t="n">
        <x:f>F13-F14</x:f>
        <x:v>49.26624993750002</x:v>
      </x:c>
      <x:c r="G15" t="n">
        <x:f>G13-G14</x:f>
        <x:v>59.34216832176566</x:v>
      </x:c>
    </x:row>
    <x:row r="17">
      <x:c r="A17" t="str">
        <x:v>Capital expenditures</x:v>
      </x:c>
      <x:c r="C17" t="n">
        <x:f>C5*'Assumptions'!$B$25</x:f>
        <x:v>32.175000000000004</x:v>
      </x:c>
      <x:c r="D17" t="n">
        <x:f>D5*'Assumptions'!$B$25</x:f>
        <x:v>35.070750000000004</x:v>
      </x:c>
      <x:c r="E17" t="n">
        <x:f>E5*'Assumptions'!$B$25</x:f>
        <x:v>37.87641000000001</x:v>
      </x:c>
      <x:c r="F17" t="n">
        <x:f>F5*'Assumptions'!$B$25</x:f>
        <x:v>40.527758700000014</x:v>
      </x:c>
      <x:c r="G17" t="n">
        <x:f>G5*'Assumptions'!$B$25</x:f>
        <x:v>42.95942422200002</x:v>
      </x:c>
    </x:row>
    <x:row r="18">
      <x:c r="A18" t="str">
        <x:v>Net working capital</x:v>
      </x:c>
      <x:c r="B18" t="n">
        <x:f>'Assumptions'!B30</x:f>
        <x:v>78</x:v>
      </x:c>
      <x:c r="C18" t="n">
        <x:f>C5*'Assumptions'!$B$26</x:f>
        <x:v>85.80000000000001</x:v>
      </x:c>
      <x:c r="D18" t="n">
        <x:f>D5*'Assumptions'!$B$26</x:f>
        <x:v>93.52200000000002</x:v>
      </x:c>
      <x:c r="E18" t="n">
        <x:f>E5*'Assumptions'!$B$26</x:f>
        <x:v>101.00376000000001</x:v>
      </x:c>
      <x:c r="F18" t="n">
        <x:f>F5*'Assumptions'!$B$26</x:f>
        <x:v>108.07402320000003</x:v>
      </x:c>
      <x:c r="G18" t="n">
        <x:f>G5*'Assumptions'!$B$26</x:f>
        <x:v>114.55846459200004</x:v>
      </x:c>
    </x:row>
    <x:row r="19">
      <x:c r="A19" t="str">
        <x:v>Change in NWC</x:v>
      </x:c>
      <x:c r="C19" t="n">
        <x:f>C18-B18</x:f>
        <x:v>7.800000000000011</x:v>
      </x:c>
      <x:c r="D19" t="n">
        <x:f>D18-C18</x:f>
        <x:v>7.722000000000008</x:v>
      </x:c>
      <x:c r="E19" t="n">
        <x:f>E18-D18</x:f>
        <x:v>7.481759999999994</x:v>
      </x:c>
      <x:c r="F19" t="n">
        <x:f>F18-E18</x:f>
        <x:v>7.070263200000014</x:v>
      </x:c>
      <x:c r="G19" t="n">
        <x:f>G18-F18</x:f>
        <x:v>6.484441392000008</x:v>
      </x:c>
    </x:row>
    <x:row r="20">
      <x:c r="A20" t="str">
        <x:v>Cash flow before debt service</x:v>
      </x:c>
      <x:c r="C20" t="n">
        <x:f>C9-C14-C17-C19-C12</x:f>
        <x:v>7.662500000000001</x:v>
      </x:c>
      <x:c r="D20" t="n">
        <x:f>D9-D14-D17-D19-D12</x:f>
        <x:v>15.531687500000004</x:v>
      </x:c>
      <x:c r="E20" t="n">
        <x:f>E9-E14-E17-E19-E12</x:f>
        <x:v>23.910990000000034</x:v>
      </x:c>
      <x:c r="F20" t="n">
        <x:f>F9-F14-F17-F19-F12</x:f>
        <x:v>33.18981813749999</x:v>
      </x:c>
      <x:c r="G20" t="n">
        <x:f>G9-G14-G17-G19-G12</x:f>
        <x:v>43.311188213765625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1" customHeight="1">
      <x:c r="A1" s="3" t="str">
        <x:v>04  |  DEBT SCHEDULE &amp; CASH SWEEP</x:v>
      </x:c>
      <x:c r="B1" s="3"/>
      <x:c r="C1" s="3"/>
      <x:c r="D1" s="3"/>
      <x:c r="E1" s="3"/>
      <x:c r="F1" s="3"/>
      <x:c r="G1" s="3"/>
      <x:c r="H1" s="3"/>
    </x:row>
    <x:row r="3" ht="25" customHeight="1">
      <x:c r="A3" s="6" t="str">
        <x:v>USD millions</x:v>
      </x:c>
      <x:c r="B3" s="6" t="str">
        <x:v>Closing</x:v>
      </x:c>
      <x:c r="C3" s="6" t="str">
        <x:v>Y1</x:v>
      </x:c>
      <x:c r="D3" s="6" t="str">
        <x:v>Y2</x:v>
      </x:c>
      <x:c r="E3" s="6" t="str">
        <x:v>Y3</x:v>
      </x:c>
      <x:c r="F3" s="6" t="str">
        <x:v>Y4</x:v>
      </x:c>
      <x:c r="G3" s="6" t="str">
        <x:v>Y5</x:v>
      </x:c>
    </x:row>
    <x:row r="5">
      <x:c r="A5" t="str">
        <x:v>Senior opening balance</x:v>
      </x:c>
      <x:c r="C5" t="n">
        <x:f>B8</x:f>
        <x:v>320</x:v>
      </x:c>
      <x:c r="D5" t="n">
        <x:f>C8</x:f>
        <x:v>304</x:v>
      </x:c>
      <x:c r="E5" t="n">
        <x:f>D8</x:f>
        <x:v>288</x:v>
      </x:c>
      <x:c r="F5" t="n">
        <x:f>E8</x:f>
        <x:v>264.08901</x:v>
      </x:c>
      <x:c r="G5" t="n">
        <x:f>F8</x:f>
        <x:v>230.89919186249998</x:v>
      </x:c>
    </x:row>
    <x:row r="6">
      <x:c r="A6" t="str">
        <x:v>Senior scheduled amortisation</x:v>
      </x:c>
      <x:c r="C6" t="n">
        <x:f>MIN(C5,'Sources &amp; Uses'!$B$14*'Assumptions'!$B$17)</x:f>
        <x:v>16</x:v>
      </x:c>
      <x:c r="D6" t="n">
        <x:f>MIN(D5,'Sources &amp; Uses'!$B$14*'Assumptions'!$B$17)</x:f>
        <x:v>16</x:v>
      </x:c>
      <x:c r="E6" t="n">
        <x:f>MIN(E5,'Sources &amp; Uses'!$B$14*'Assumptions'!$B$17)</x:f>
        <x:v>16</x:v>
      </x:c>
      <x:c r="F6" t="n">
        <x:f>MIN(F5,'Sources &amp; Uses'!$B$14*'Assumptions'!$B$17)</x:f>
        <x:v>16</x:v>
      </x:c>
      <x:c r="G6" t="n">
        <x:f>MIN(G5,'Sources &amp; Uses'!$B$14*'Assumptions'!$B$17)</x:f>
        <x:v>16</x:v>
      </x:c>
    </x:row>
    <x:row r="7">
      <x:c r="A7" t="str">
        <x:v>Senior cash sweep</x:v>
      </x:c>
      <x:c r="C7" t="n">
        <x:f>MIN(MAX(0,C5-C6),C13)</x:f>
        <x:v>0</x:v>
      </x:c>
      <x:c r="D7" t="n">
        <x:f>MIN(MAX(0,D5-D6),D13)</x:f>
        <x:v>0</x:v>
      </x:c>
      <x:c r="E7" t="n">
        <x:f>MIN(MAX(0,E5-E6),E13)</x:f>
        <x:v>7.910990000000034</x:v>
      </x:c>
      <x:c r="F7" t="n">
        <x:f>MIN(MAX(0,F5-F6),F13)</x:f>
        <x:v>17.18981813749999</x:v>
      </x:c>
      <x:c r="G7" t="n">
        <x:f>MIN(MAX(0,G5-G6),G13)</x:f>
        <x:v>27.311188213765625</x:v>
      </x:c>
    </x:row>
    <x:row r="8">
      <x:c r="A8" t="str">
        <x:v>Senior closing balance</x:v>
      </x:c>
      <x:c r="B8" t="n">
        <x:f>'Sources &amp; Uses'!B14</x:f>
        <x:v>320</x:v>
      </x:c>
      <x:c r="C8" t="n">
        <x:f>C5-C6-C7</x:f>
        <x:v>304</x:v>
      </x:c>
      <x:c r="D8" t="n">
        <x:f>D5-D6-D7</x:f>
        <x:v>288</x:v>
      </x:c>
      <x:c r="E8" t="n">
        <x:f>E5-E6-E7</x:f>
        <x:v>264.08901</x:v>
      </x:c>
      <x:c r="F8" t="n">
        <x:f>F5-F6-F7</x:f>
        <x:v>230.89919186249998</x:v>
      </x:c>
      <x:c r="G8" t="n">
        <x:f>G5-G6-G7</x:f>
        <x:v>187.58800364873434</x:v>
      </x:c>
    </x:row>
    <x:row r="9">
      <x:c r="A9" t="str">
        <x:v>Subordinated closing balance</x:v>
      </x:c>
      <x:c r="B9" t="n">
        <x:f>'Sources &amp; Uses'!B15</x:f>
        <x:v>80</x:v>
      </x:c>
      <x:c r="C9" t="n">
        <x:f>B9</x:f>
        <x:v>80</x:v>
      </x:c>
      <x:c r="D9" t="n">
        <x:f>C9</x:f>
        <x:v>80</x:v>
      </x:c>
      <x:c r="E9" t="n">
        <x:f>D9</x:f>
        <x:v>80</x:v>
      </x:c>
      <x:c r="F9" t="n">
        <x:f>E9</x:f>
        <x:v>80</x:v>
      </x:c>
      <x:c r="G9" t="n">
        <x:f>F9</x:f>
        <x:v>80</x:v>
      </x:c>
    </x:row>
    <x:row r="10">
      <x:c r="A10" t="str">
        <x:v>Cash interest expense</x:v>
      </x:c>
      <x:c r="C10" t="n">
        <x:f>C5*'Assumptions'!$B$15+B9*'Assumptions'!$B$16</x:f>
        <x:v>36.400000000000006</x:v>
      </x:c>
      <x:c r="D10" t="n">
        <x:f>D5*'Assumptions'!$B$15+C9*'Assumptions'!$B$16</x:f>
        <x:v>35.040000000000006</x:v>
      </x:c>
      <x:c r="E10" t="n">
        <x:f>E5*'Assumptions'!$B$15+D9*'Assumptions'!$B$16</x:f>
        <x:v>33.68</x:v>
      </x:c>
      <x:c r="F10" t="n">
        <x:f>F5*'Assumptions'!$B$15+E9*'Assumptions'!$B$16</x:f>
        <x:v>31.64756585</x:v>
      </x:c>
      <x:c r="G10" t="n">
        <x:f>G5*'Assumptions'!$B$15+F9*'Assumptions'!$B$16</x:f>
        <x:v>28.8264313083125</x:v>
      </x:c>
    </x:row>
    <x:row r="12">
      <x:c r="A12" t="str">
        <x:v>Total closing debt</x:v>
      </x:c>
      <x:c r="B12" t="n">
        <x:f>B8+B9</x:f>
        <x:v>400</x:v>
      </x:c>
      <x:c r="C12" t="n">
        <x:f>C8+C9</x:f>
        <x:v>384</x:v>
      </x:c>
      <x:c r="D12" t="n">
        <x:f>D8+D9</x:f>
        <x:v>368</x:v>
      </x:c>
      <x:c r="E12" t="n">
        <x:f>E8+E9</x:f>
        <x:v>344.08901</x:v>
      </x:c>
      <x:c r="F12" t="n">
        <x:f>F8+F9</x:f>
        <x:v>310.89919186249995</x:v>
      </x:c>
      <x:c r="G12" t="n">
        <x:f>G8+G9</x:f>
        <x:v>267.58800364873434</x:v>
      </x:c>
    </x:row>
    <x:row r="13">
      <x:c r="A13" t="str">
        <x:v>Available cash for sweep</x:v>
      </x:c>
      <x:c r="C13" t="n">
        <x:f>MAX(0,'Operating Model'!C20-C6)</x:f>
        <x:v>0</x:v>
      </x:c>
      <x:c r="D13" t="n">
        <x:f>MAX(0,'Operating Model'!D20-D6)</x:f>
        <x:v>0</x:v>
      </x:c>
      <x:c r="E13" t="n">
        <x:f>MAX(0,'Operating Model'!E20-E6)</x:f>
        <x:v>7.910990000000034</x:v>
      </x:c>
      <x:c r="F13" t="n">
        <x:f>MAX(0,'Operating Model'!F20-F6)</x:f>
        <x:v>17.18981813749999</x:v>
      </x:c>
      <x:c r="G13" t="n">
        <x:f>MAX(0,'Operating Model'!G20-G6)</x:f>
        <x:v>27.311188213765625</x:v>
      </x:c>
    </x:row>
    <x:row r="14">
      <x:c r="A14" t="str">
        <x:v>Debt service coverage (CF / interest + amort.)</x:v>
      </x:c>
      <x:c r="C14" t="n">
        <x:f>IFERROR(('Operating Model'!C20+C10)/(C10+C6),0)</x:f>
        <x:v>0.8408874045801528</x:v>
      </x:c>
      <x:c r="D14" t="n">
        <x:f>IFERROR(('Operating Model'!D20+D10)/(D10+D6),0)</x:f>
        <x:v>0.9908245983542321</x:v>
      </x:c>
      <x:c r="E14" t="n">
        <x:f>IFERROR(('Operating Model'!E20+E10)/(E10+E6),0)</x:f>
        <x:v>1.1592389291465386</x:v>
      </x:c>
      <x:c r="F14" t="n">
        <x:f>IFERROR(('Operating Model'!F20+F10)/(F10+F6),0)</x:f>
        <x:v>1.3607701218487323</x:v>
      </x:c>
      <x:c r="G14" t="n">
        <x:f>IFERROR(('Operating Model'!G20+G10)/(G10+G6),0)</x:f>
        <x:v>1.6092652798060485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1" customHeight="1">
      <x:c r="A1" s="3" t="str">
        <x:v>05  |  EXIT VALUATION &amp; SPONSOR RETURNS</x:v>
      </x:c>
      <x:c r="B1" s="3"/>
      <x:c r="C1" s="3"/>
      <x:c r="D1" s="3"/>
      <x:c r="E1" s="3"/>
      <x:c r="F1" s="3"/>
      <x:c r="G1" s="3"/>
      <x:c r="H1" s="3"/>
    </x:row>
    <x:row r="3" ht="25" customHeight="1">
      <x:c r="A3" s="6" t="str">
        <x:v>USD millions unless noted</x:v>
      </x:c>
      <x:c r="B3" s="6" t="str">
        <x:v>Value</x:v>
      </x:c>
    </x:row>
    <x:row r="5">
      <x:c r="A5" t="str">
        <x:v>Exit EBITDA</x:v>
      </x:c>
      <x:c r="B5" t="n">
        <x:f>'Operating Model'!G9</x:f>
        <x:v>141.36220791000005</x:v>
      </x:c>
    </x:row>
    <x:row r="6">
      <x:c r="A6" t="str">
        <x:v>Exit EV / EBITDA</x:v>
      </x:c>
      <x:c r="B6" t="n">
        <x:f>'Assumptions'!B27</x:f>
        <x:v>10</x:v>
      </x:c>
    </x:row>
    <x:row r="7">
      <x:c r="A7" t="str">
        <x:v>Exit enterprise value</x:v>
      </x:c>
      <x:c r="B7" t="n">
        <x:f>B5*B6</x:f>
        <x:v>1413.6220791000005</x:v>
      </x:c>
    </x:row>
    <x:row r="8">
      <x:c r="A8" t="str">
        <x:v>Exit fees</x:v>
      </x:c>
      <x:c r="B8" t="n">
        <x:f>B7*'Assumptions'!B29</x:f>
        <x:v>14.136220791000005</x:v>
      </x:c>
    </x:row>
    <x:row r="9">
      <x:c r="A9" t="str">
        <x:v>Less: closing debt</x:v>
      </x:c>
      <x:c r="B9" t="n">
        <x:f>'Debt Schedule'!G12</x:f>
        <x:v>267.58800364873434</x:v>
      </x:c>
    </x:row>
    <x:row r="10">
      <x:c r="A10" t="str">
        <x:v>Exit equity proceeds</x:v>
      </x:c>
      <x:c r="B10" t="n">
        <x:f>B7-B8-B9+B22</x:f>
        <x:v>1146.8978546602661</x:v>
      </x:c>
    </x:row>
    <x:row r="12">
      <x:c r="A12" t="str">
        <x:v>Initial sponsor equity</x:v>
      </x:c>
      <x:c r="B12" t="n">
        <x:f>'Sources &amp; Uses'!B16</x:f>
        <x:v>507</x:v>
      </x:c>
    </x:row>
    <x:row r="13">
      <x:c r="A13" t="str">
        <x:v>Sponsor MOIC</x:v>
      </x:c>
      <x:c r="B13" s="12" t="n">
        <x:f>B10/B12</x:f>
        <x:v>2.2621259460754755</x:v>
      </x:c>
    </x:row>
    <x:row r="14">
      <x:c r="A14" t="str">
        <x:v>Sponsor IRR</x:v>
      </x:c>
      <x:c r="B14" s="10" t="n">
        <x:f>B13^(1/'Assumptions'!B28)-1</x:f>
        <x:v>0.1773439493615656</x:v>
      </x:c>
    </x:row>
    <x:row r="15">
      <x:c r="A15" t="str">
        <x:v>Entry enterprise value</x:v>
      </x:c>
      <x:c r="B15" t="n">
        <x:f>'Sources &amp; Uses'!B5</x:f>
        <x:v>800</x:v>
      </x:c>
    </x:row>
    <x:row r="16">
      <x:c r="A16" t="str">
        <x:v>Entry equity value (pre-fees)</x:v>
      </x:c>
      <x:c r="B16" t="n">
        <x:f>B15-'Assumptions'!B12+'Assumptions'!B11</x:f>
        <x:v>720</x:v>
      </x:c>
    </x:row>
    <x:row r="17">
      <x:c r="A17" t="str">
        <x:v>Entry equity contribution</x:v>
      </x:c>
      <x:c r="B17" t="n">
        <x:f>B12</x:f>
        <x:v>507</x:v>
      </x:c>
    </x:row>
    <x:row r="19">
      <x:c r="A19" t="str">
        <x:v>Investment hurdle IRR</x:v>
      </x:c>
      <x:c r="B19" s="10" t="n">
        <x:v>0.2</x:v>
      </x:c>
    </x:row>
    <x:row r="20">
      <x:c r="A20" t="str">
        <x:v>Meets hurdle?</x:v>
      </x:c>
      <x:c r="B20" t="str">
        <x:f>IF(B14&gt;=B19,"YES","NO")</x:f>
        <x:v>NO</x:v>
      </x:c>
    </x:row>
    <x:row r="22">
      <x:c r="A22" t="str">
        <x:v>Exit cash assumption</x:v>
      </x:c>
      <x:c r="B22" t="n">
        <x:f>'Assumptions'!B10</x:f>
        <x:v>15</x:v>
      </x:c>
    </x:row>
    <x:row r="23">
      <x:c r="A23" t="str">
        <x:v>Funding balance check</x:v>
      </x:c>
      <x:c r="B23" t="n">
        <x:f>'Sources &amp; Uses'!B20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1" customHeight="1">
      <x:c r="A1" s="3" t="str">
        <x:v>06  |  EXIT MULTIPLE × EXIT EBITDA SENSITIVITY</x:v>
      </x:c>
      <x:c r="B1" s="3"/>
      <x:c r="C1" s="3"/>
      <x:c r="D1" s="3"/>
      <x:c r="E1" s="3"/>
      <x:c r="F1" s="3"/>
      <x:c r="G1" s="3"/>
      <x:c r="H1" s="3"/>
    </x:row>
    <x:row r="3">
      <x:c r="A3" t="str">
        <x:v>Sponsor IRR</x:v>
      </x:c>
    </x:row>
    <x:row r="4">
      <x:c r="A4" t="str">
        <x:v>Exit multiple / EBITDA scenario</x:v>
      </x:c>
    </x:row>
    <x:row r="5">
      <x:c r="B5" t="n">
        <x:v>8</x:v>
      </x:c>
      <x:c r="C5" t="n">
        <x:v>9</x:v>
      </x:c>
      <x:c r="D5" t="n">
        <x:v>10</x:v>
      </x:c>
      <x:c r="E5" t="n">
        <x:v>11</x:v>
      </x:c>
      <x:c r="F5" t="n">
        <x:v>12</x:v>
      </x:c>
    </x:row>
    <x:row r="6">
      <x:c r="A6" s="14" t="n">
        <x:v>-0.2</x:v>
      </x:c>
      <x:c r="B6" s="10" t="n">
        <x:f>MAX(0,((('Returns'!$B$5*(1+$A6)*B$5)*(1-'Assumptions'!$B$29)-'Returns'!$B$9+'Returns'!$B$22)/'Returns'!$B$12))^(1/'Assumptions'!$B$28)-1</x:f>
        <x:v>0.048701300591386554</x:v>
      </x:c>
      <x:c r="C6" s="10" t="n">
        <x:f>MAX(0,((('Returns'!$B$5*(1+$A6)*C$5)*(1-'Assumptions'!$B$29)-'Returns'!$B$9+'Returns'!$B$22)/'Returns'!$B$12))^(1/'Assumptions'!$B$28)-1</x:f>
        <x:v>0.08291061010839029</x:v>
      </x:c>
      <x:c r="D6" s="10" t="n">
        <x:f>MAX(0,((('Returns'!$B$5*(1+$A6)*D$5)*(1-'Assumptions'!$B$29)-'Returns'!$B$9+'Returns'!$B$22)/'Returns'!$B$12))^(1/'Assumptions'!$B$28)-1</x:f>
        <x:v>0.11327458859375383</x:v>
      </x:c>
      <x:c r="E6" s="10" t="n">
        <x:f>MAX(0,((('Returns'!$B$5*(1+$A6)*E$5)*(1-'Assumptions'!$B$29)-'Returns'!$B$9+'Returns'!$B$22)/'Returns'!$B$12))^(1/'Assumptions'!$B$28)-1</x:f>
        <x:v>0.1406472499714102</x:v>
      </x:c>
      <x:c r="F6" s="10" t="n">
        <x:f>MAX(0,((('Returns'!$B$5*(1+$A6)*F$5)*(1-'Assumptions'!$B$29)-'Returns'!$B$9+'Returns'!$B$22)/'Returns'!$B$12))^(1/'Assumptions'!$B$28)-1</x:f>
        <x:v>0.16561965796709788</x:v>
      </x:c>
    </x:row>
    <x:row r="7">
      <x:c r="A7" s="14" t="n">
        <x:v>-0.1</x:v>
      </x:c>
      <x:c r="B7" s="10" t="n">
        <x:f>MAX(0,((('Returns'!$B$5*(1+$A7)*B$5)*(1-'Assumptions'!$B$29)-'Returns'!$B$9+'Returns'!$B$22)/'Returns'!$B$12))^(1/'Assumptions'!$B$28)-1</x:f>
        <x:v>0.08291061010839029</x:v>
      </x:c>
      <x:c r="C7" s="10" t="n">
        <x:f>MAX(0,((('Returns'!$B$5*(1+$A7)*C$5)*(1-'Assumptions'!$B$29)-'Returns'!$B$9+'Returns'!$B$22)/'Returns'!$B$12))^(1/'Assumptions'!$B$28)-1</x:f>
        <x:v>0.11684563261378389</x:v>
      </x:c>
      <x:c r="D7" s="10" t="n">
        <x:f>MAX(0,((('Returns'!$B$5*(1+$A7)*D$5)*(1-'Assumptions'!$B$29)-'Returns'!$B$9+'Returns'!$B$22)/'Returns'!$B$12))^(1/'Assumptions'!$B$28)-1</x:f>
        <x:v>0.14709642513998267</x:v>
      </x:c>
      <x:c r="E7" s="10" t="n">
        <x:f>MAX(0,((('Returns'!$B$5*(1+$A7)*E$5)*(1-'Assumptions'!$B$29)-'Returns'!$B$9+'Returns'!$B$22)/'Returns'!$B$12))^(1/'Assumptions'!$B$28)-1</x:f>
        <x:v>0.17445654696039004</x:v>
      </x:c>
      <x:c r="F7" s="10" t="n">
        <x:f>MAX(0,((('Returns'!$B$5*(1+$A7)*F$5)*(1-'Assumptions'!$B$29)-'Returns'!$B$9+'Returns'!$B$22)/'Returns'!$B$12))^(1/'Assumptions'!$B$28)-1</x:f>
        <x:v>0.1994818170428594</x:v>
      </x:c>
    </x:row>
    <x:row r="8">
      <x:c r="A8" s="14" t="n">
        <x:v>0</x:v>
      </x:c>
      <x:c r="B8" s="10" t="n">
        <x:f>MAX(0,((('Returns'!$B$5*(1+$A8)*B$5)*(1-'Assumptions'!$B$29)-'Returns'!$B$9+'Returns'!$B$22)/'Returns'!$B$12))^(1/'Assumptions'!$B$28)-1</x:f>
        <x:v>0.11327458859375383</x:v>
      </x:c>
      <x:c r="C8" s="10" t="n">
        <x:f>MAX(0,((('Returns'!$B$5*(1+$A8)*C$5)*(1-'Assumptions'!$B$29)-'Returns'!$B$9+'Returns'!$B$22)/'Returns'!$B$12))^(1/'Assumptions'!$B$28)-1</x:f>
        <x:v>0.14709642513998267</x:v>
      </x:c>
      <x:c r="D8" s="10" t="n">
        <x:f>MAX(0,((('Returns'!$B$5*(1+$A8)*D$5)*(1-'Assumptions'!$B$29)-'Returns'!$B$9+'Returns'!$B$22)/'Returns'!$B$12))^(1/'Assumptions'!$B$28)-1</x:f>
        <x:v>0.1773439493615656</x:v>
      </x:c>
      <x:c r="E8" s="10" t="n">
        <x:f>MAX(0,((('Returns'!$B$5*(1+$A8)*E$5)*(1-'Assumptions'!$B$29)-'Returns'!$B$9+'Returns'!$B$22)/'Returns'!$B$12))^(1/'Assumptions'!$B$28)-1</x:f>
        <x:v>0.20476891432278244</x:v>
      </x:c>
      <x:c r="F8" s="10" t="n">
        <x:f>MAX(0,((('Returns'!$B$5*(1+$A8)*F$5)*(1-'Assumptions'!$B$29)-'Returns'!$B$9+'Returns'!$B$22)/'Returns'!$B$12))^(1/'Assumptions'!$B$28)-1</x:f>
        <x:v>0.22990261665421152</x:v>
      </x:c>
    </x:row>
    <x:row r="9">
      <x:c r="A9" s="14" t="n">
        <x:v>0.1</x:v>
      </x:c>
      <x:c r="B9" s="10" t="n">
        <x:f>MAX(0,((('Returns'!$B$5*(1+$A9)*B$5)*(1-'Assumptions'!$B$29)-'Returns'!$B$9+'Returns'!$B$22)/'Returns'!$B$12))^(1/'Assumptions'!$B$28)-1</x:f>
        <x:v>0.1406472499714102</x:v>
      </x:c>
      <x:c r="C9" s="10" t="n">
        <x:f>MAX(0,((('Returns'!$B$5*(1+$A9)*C$5)*(1-'Assumptions'!$B$29)-'Returns'!$B$9+'Returns'!$B$22)/'Returns'!$B$12))^(1/'Assumptions'!$B$28)-1</x:f>
        <x:v>0.17445654696039004</x:v>
      </x:c>
      <x:c r="D9" s="10" t="n">
        <x:f>MAX(0,((('Returns'!$B$5*(1+$A9)*D$5)*(1-'Assumptions'!$B$29)-'Returns'!$B$9+'Returns'!$B$22)/'Returns'!$B$12))^(1/'Assumptions'!$B$28)-1</x:f>
        <x:v>0.20476891432278266</x:v>
      </x:c>
      <x:c r="E9" s="10" t="n">
        <x:f>MAX(0,((('Returns'!$B$5*(1+$A9)*E$5)*(1-'Assumptions'!$B$29)-'Returns'!$B$9+'Returns'!$B$22)/'Returns'!$B$12))^(1/'Assumptions'!$B$28)-1</x:f>
        <x:v>0.23230592983325593</x:v>
      </x:c>
      <x:c r="F9" s="10" t="n">
        <x:f>MAX(0,((('Returns'!$B$5*(1+$A9)*F$5)*(1-'Assumptions'!$B$29)-'Returns'!$B$9+'Returns'!$B$22)/'Returns'!$B$12))^(1/'Assumptions'!$B$28)-1</x:f>
        <x:v>0.2575811594158397</x:v>
      </x:c>
    </x:row>
    <x:row r="10">
      <x:c r="A10" s="14" t="n">
        <x:v>0.2</x:v>
      </x:c>
      <x:c r="B10" s="10" t="n">
        <x:f>MAX(0,((('Returns'!$B$5*(1+$A10)*B$5)*(1-'Assumptions'!$B$29)-'Returns'!$B$9+'Returns'!$B$22)/'Returns'!$B$12))^(1/'Assumptions'!$B$28)-1</x:f>
        <x:v>0.16561965796709766</x:v>
      </x:c>
      <x:c r="C10" s="10" t="n">
        <x:f>MAX(0,((('Returns'!$B$5*(1+$A10)*C$5)*(1-'Assumptions'!$B$29)-'Returns'!$B$9+'Returns'!$B$22)/'Returns'!$B$12))^(1/'Assumptions'!$B$28)-1</x:f>
        <x:v>0.1994818170428594</x:v>
      </x:c>
      <x:c r="D10" s="10" t="n">
        <x:f>MAX(0,((('Returns'!$B$5*(1+$A10)*D$5)*(1-'Assumptions'!$B$29)-'Returns'!$B$9+'Returns'!$B$22)/'Returns'!$B$12))^(1/'Assumptions'!$B$28)-1</x:f>
        <x:v>0.22990261665421152</x:v>
      </x:c>
      <x:c r="E10" s="10" t="n">
        <x:f>MAX(0,((('Returns'!$B$5*(1+$A10)*E$5)*(1-'Assumptions'!$B$29)-'Returns'!$B$9+'Returns'!$B$22)/'Returns'!$B$12))^(1/'Assumptions'!$B$28)-1</x:f>
        <x:v>0.2575811594158395</x:v>
      </x:c>
      <x:c r="F10" s="10" t="n">
        <x:f>MAX(0,((('Returns'!$B$5*(1+$A10)*F$5)*(1-'Assumptions'!$B$29)-'Returns'!$B$9+'Returns'!$B$22)/'Returns'!$B$12))^(1/'Assumptions'!$B$28)-1</x:f>
        <x:v>0.2830178282361946</x:v>
      </x:c>
    </x:row>
  </x:sheetData>
  <x:conditionalFormatting sqref="B6:F10">
    <x:cfRule type="colorScale" priority="1">
      <x:colorScale>
        <x:cfvo type="min"/>
        <x:cfvo type="percentile" val="50"/>
        <x:cfvo type="max"/>
        <x:color rgb="FFFEE2E2"/>
        <x:color rgb="FFFEF3C7"/>
        <x:color rgb="FFBFE8D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1" customHeight="1">
      <x:c r="A1" s="3" t="str">
        <x:v>07  |  MODEL INTEGRITY CHECKS</x:v>
      </x:c>
      <x:c r="B1" s="3"/>
      <x:c r="C1" s="3"/>
      <x:c r="D1" s="3"/>
      <x:c r="E1" s="3"/>
      <x:c r="F1" s="3"/>
      <x:c r="G1" s="3"/>
      <x:c r="H1" s="3"/>
    </x:row>
    <x:row r="3" ht="25" customHeight="1">
      <x:c r="A3" s="6" t="str">
        <x:v>CONTROL</x:v>
      </x:c>
      <x:c r="B3" s="6" t="str">
        <x:v>RESULT</x:v>
      </x:c>
    </x:row>
    <x:row r="5">
      <x:c r="A5" t="str">
        <x:v>Sources and uses balance</x:v>
      </x:c>
      <x:c r="B5" t="n">
        <x:f>'Sources &amp; Uses'!B20</x:f>
        <x:v>0</x:v>
      </x:c>
    </x:row>
    <x:row r="6">
      <x:c r="A6" t="str">
        <x:v>Closing debt non-negative</x:v>
      </x:c>
      <x:c r="B6" t="n">
        <x:f>MIN('Debt Schedule'!C8:G9)</x:f>
        <x:v>80</x:v>
      </x:c>
    </x:row>
    <x:row r="7">
      <x:c r="A7" t="str">
        <x:v>Exit proceeds positive</x:v>
      </x:c>
      <x:c r="B7" t="n">
        <x:f>'Returns'!B10</x:f>
        <x:v>1146.8978546602661</x:v>
      </x:c>
    </x:row>
    <x:row r="8">
      <x:c r="A8" t="str">
        <x:v>Opening EBITDA matches base</x:v>
      </x:c>
      <x:c r="B8" t="n">
        <x:f>'Operating Model'!B9-'Assumptions'!B7</x:f>
        <x:v>0</x:v>
      </x:c>
    </x:row>
    <x:row r="9">
      <x:c r="A9" t="str">
        <x:v>Overall check</x:v>
      </x:c>
      <x:c r="B9" t="str">
        <x:f>IF(AND(ABS(B5)&lt;0.0001,B6&gt;=0,B7&gt;0,ABS(B8)&lt;0.0001),"PASS","REVIEW")</x:f>
        <x:v>PASS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1" customHeight="1">
      <x:c r="A1" s="3" t="str">
        <x:v>LBO CASE STUDY  |  MODEL GUIDE</x:v>
      </x:c>
      <x:c r="B1" s="3"/>
      <x:c r="C1" s="3"/>
      <x:c r="D1" s="3"/>
      <x:c r="E1" s="3"/>
      <x:c r="F1" s="3"/>
      <x:c r="G1" s="3"/>
      <x:c r="H1" s="3"/>
    </x:row>
    <x:row r="3">
      <x:c r="A3" t="str">
        <x:v>ASTERION BUSINESS SERVICES | Fictional acquisition</x:v>
      </x:c>
    </x:row>
    <x:row r="5">
      <x:c r="A5" t="str">
        <x:v>Purpose: Demonstrate a fully synthetic, formula-driven sponsor LBO.</x:v>
      </x:c>
    </x:row>
    <x:row r="7">
      <x:c r="A7" t="str">
        <x:v>Flow: Assumptions → Sources &amp; Uses → Operating Model → Debt Schedule → Returns.</x:v>
      </x:c>
    </x:row>
    <x:row r="9">
      <x:c r="A9" t="str">
        <x:v>Sensitivity varies exit EBITDA and exit EV / EBITDA; debt held at base-case level.</x:v>
      </x:c>
    </x:row>
    <x:row r="11">
      <x:c r="A11" t="str">
        <x:v>Interest is charged on opening debt balances to avoid circularity.</x:v>
      </x:c>
    </x:row>
    <x:row r="13">
      <x:c r="A13" t="str">
        <x:v>Senior cash sweep uses annual excess operating cash after interest, taxes, capex, NWC and amortisation.</x:v>
      </x:c>
    </x:row>
    <x:row r="15">
      <x:c r="A15" t="str">
        <x:v>No dividend recapitalisation, revolver or interim sponsor distributions are assumed.</x:v>
      </x:c>
    </x:row>
    <x:row r="17">
      <x:c r="A17" t="str">
        <x:v>Opening cash is treated as an acquisition source; minimum closing cash is funded at close.</x:v>
      </x:c>
    </x:row>
    <x:row r="19">
      <x:c r="A19" t="str">
        <x:v>Synthetic assumptions. Not investment advice or a representation of client work.</x:v>
      </x:c>
    </x:row>
    <x:row r="21">
      <x:c r="A21" t="str">
        <x:v>All amounts USD millions unless noted. Blue text convention is not used for hardcodes in this example.</x:v>
      </x:c>
    </x:row>
  </x:sheetData>
  <x:pageMargins left="0.7" right="0.7" top="0.75" bottom="0.75" header="0.3" footer="0.3"/>
</x:worksheet>
</file>